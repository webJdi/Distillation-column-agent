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Distillation-column-agent\Report\"/>
    </mc:Choice>
  </mc:AlternateContent>
  <xr:revisionPtr revIDLastSave="0" documentId="13_ncr:1_{0BA60CD5-21A6-4F37-A87C-40D6D25132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Chart w % Comple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E20" i="1"/>
  <c r="G20" i="1" s="1"/>
  <c r="H20" i="1" s="1"/>
  <c r="E26" i="1"/>
  <c r="E25" i="1"/>
  <c r="G25" i="1" s="1"/>
  <c r="H25" i="1" s="1"/>
  <c r="E24" i="1"/>
  <c r="E23" i="1"/>
  <c r="F26" i="1"/>
  <c r="G24" i="1"/>
  <c r="H24" i="1" s="1"/>
  <c r="F23" i="1"/>
  <c r="D23" i="1"/>
  <c r="D24" i="1"/>
  <c r="D25" i="1"/>
  <c r="D26" i="1"/>
  <c r="E19" i="1"/>
  <c r="E21" i="1"/>
  <c r="F21" i="1" s="1"/>
  <c r="E18" i="1"/>
  <c r="G18" i="1" s="1"/>
  <c r="H18" i="1" s="1"/>
  <c r="E17" i="1"/>
  <c r="G17" i="1" s="1"/>
  <c r="H17" i="1" s="1"/>
  <c r="E15" i="1"/>
  <c r="E13" i="1"/>
  <c r="E14" i="1"/>
  <c r="G14" i="1" s="1"/>
  <c r="H14" i="1" s="1"/>
  <c r="G15" i="1"/>
  <c r="H15" i="1" s="1"/>
  <c r="E12" i="1"/>
  <c r="E7" i="1"/>
  <c r="G7" i="1" s="1"/>
  <c r="H7" i="1" s="1"/>
  <c r="E8" i="1"/>
  <c r="G8" i="1" s="1"/>
  <c r="H8" i="1" s="1"/>
  <c r="E9" i="1"/>
  <c r="G9" i="1" s="1"/>
  <c r="H9" i="1" s="1"/>
  <c r="G10" i="1"/>
  <c r="H10" i="1" s="1"/>
  <c r="E6" i="1"/>
  <c r="G6" i="1" s="1"/>
  <c r="H6" i="1" s="1"/>
  <c r="G21" i="1"/>
  <c r="H21" i="1" s="1"/>
  <c r="D21" i="1"/>
  <c r="D20" i="1"/>
  <c r="G19" i="1"/>
  <c r="H19" i="1" s="1"/>
  <c r="F19" i="1"/>
  <c r="D19" i="1"/>
  <c r="D18" i="1"/>
  <c r="D17" i="1"/>
  <c r="D15" i="1"/>
  <c r="D14" i="1"/>
  <c r="G13" i="1"/>
  <c r="H13" i="1" s="1"/>
  <c r="F13" i="1"/>
  <c r="D13" i="1"/>
  <c r="G12" i="1"/>
  <c r="H12" i="1" s="1"/>
  <c r="F12" i="1"/>
  <c r="D12" i="1"/>
  <c r="D10" i="1"/>
  <c r="F9" i="1"/>
  <c r="D9" i="1"/>
  <c r="D8" i="1"/>
  <c r="D7" i="1"/>
  <c r="D6" i="1"/>
  <c r="F20" i="1" l="1"/>
  <c r="G26" i="1"/>
  <c r="H26" i="1" s="1"/>
  <c r="F25" i="1"/>
  <c r="G23" i="1"/>
  <c r="H23" i="1" s="1"/>
  <c r="F24" i="1"/>
  <c r="F18" i="1"/>
  <c r="F17" i="1"/>
  <c r="F14" i="1"/>
  <c r="F15" i="1"/>
  <c r="F10" i="1"/>
  <c r="F7" i="1"/>
  <c r="F8" i="1"/>
  <c r="F6" i="1"/>
</calcChain>
</file>

<file path=xl/sharedStrings.xml><?xml version="1.0" encoding="utf-8"?>
<sst xmlns="http://schemas.openxmlformats.org/spreadsheetml/2006/main" count="57" uniqueCount="40">
  <si>
    <t>TASK NAME</t>
  </si>
  <si>
    <t>START DATE</t>
  </si>
  <si>
    <t>DAY OF MONTH*</t>
  </si>
  <si>
    <t>END DATE</t>
  </si>
  <si>
    <t>DURATION* (WORK DAYS)</t>
  </si>
  <si>
    <t>DAYS COMPLETE*</t>
  </si>
  <si>
    <t>DAYS REMAINING*</t>
  </si>
  <si>
    <t>TEAM MEMBER</t>
  </si>
  <si>
    <t>PERCENT COMPLETE</t>
  </si>
  <si>
    <t>WEEK 1</t>
  </si>
  <si>
    <t>WEEK 2</t>
  </si>
  <si>
    <t>WEEK 3</t>
  </si>
  <si>
    <t>WEEK 4</t>
  </si>
  <si>
    <t>WEEK 5</t>
  </si>
  <si>
    <t>WEEK 6</t>
  </si>
  <si>
    <t>WEEK 7</t>
  </si>
  <si>
    <t>A Hybrid Deep Reinforcement Learning and LLM Framework
for Real-Time Distillation Optimization</t>
  </si>
  <si>
    <t>Building Simulation Model</t>
  </si>
  <si>
    <t>Training of Deep Reinforcement Learning model</t>
  </si>
  <si>
    <t>Suman S</t>
  </si>
  <si>
    <t>Crude Assay Data collection</t>
  </si>
  <si>
    <t>Configuring all data in new sim</t>
  </si>
  <si>
    <t>Adding all streams and equipments</t>
  </si>
  <si>
    <t>Convergence of model</t>
  </si>
  <si>
    <t>Review of column profile</t>
  </si>
  <si>
    <t>Coding of script</t>
  </si>
  <si>
    <t>RL agent building</t>
  </si>
  <si>
    <t>Optimization of states and actions</t>
  </si>
  <si>
    <t>Building of AI Agent</t>
  </si>
  <si>
    <t>Setting up venv &amp; lib</t>
  </si>
  <si>
    <t>Setting up workflows</t>
  </si>
  <si>
    <t>Configuration of AI Agent</t>
  </si>
  <si>
    <t>Testing of AI Agent</t>
  </si>
  <si>
    <t>Setting up of vector database</t>
  </si>
  <si>
    <t>Testing of Agentic RAG</t>
  </si>
  <si>
    <t>Interface of product pricing entry</t>
  </si>
  <si>
    <t>Interface for model monitoring</t>
  </si>
  <si>
    <t>Interface for agent interaction</t>
  </si>
  <si>
    <t>Report &amp; Other deliverables</t>
  </si>
  <si>
    <t>Development of End-User application &amp; Other deliverables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</si>
</sst>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&quot;/&quot;d"/>
  </numFmts>
  <fonts count="9" x14ac:knownFonts="1">
    <font>
      <sz val="10"/>
      <color rgb="FF000000"/>
      <name val="Arial"/>
    </font>
    <font>
      <sz val="10"/>
      <name val="Arial"/>
    </font>
    <font>
      <sz val="26"/>
      <color rgb="FF576C88"/>
      <name val="Calibri"/>
    </font>
    <font>
      <b/>
      <sz val="10"/>
      <color rgb="FFFFFFFF"/>
      <name val="Calibri"/>
    </font>
    <font>
      <b/>
      <sz val="11"/>
      <color rgb="FF666666"/>
      <name val="Calibri"/>
    </font>
    <font>
      <b/>
      <sz val="12"/>
      <color rgb="FF000000"/>
      <name val="Calibri"/>
    </font>
    <font>
      <sz val="10"/>
      <name val="Calibri"/>
    </font>
    <font>
      <sz val="11"/>
      <color rgb="FF434343"/>
      <name val="Calibri"/>
    </font>
    <font>
      <sz val="11"/>
      <color rgb="FF000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ADEE"/>
        <bgColor rgb="FF00ADEE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7FD1CD"/>
        <bgColor rgb="FF7FD1CD"/>
      </patternFill>
    </fill>
    <fill>
      <patternFill patternType="solid">
        <fgColor rgb="FF57BB8A"/>
        <bgColor rgb="FF57BB8A"/>
      </patternFill>
    </fill>
    <fill>
      <patternFill patternType="solid">
        <fgColor rgb="FFBCE4D1"/>
        <bgColor rgb="FFBCE4D1"/>
      </patternFill>
    </fill>
    <fill>
      <patternFill patternType="solid">
        <fgColor rgb="FF8AD0AE"/>
        <bgColor rgb="FF8AD0AE"/>
      </patternFill>
    </fill>
    <fill>
      <patternFill patternType="solid">
        <fgColor rgb="FFDBF1E6"/>
        <bgColor rgb="FFDBF1E6"/>
      </patternFill>
    </fill>
    <fill>
      <patternFill patternType="solid">
        <fgColor rgb="FFE5F5ED"/>
        <bgColor rgb="FFE5F5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1" fillId="0" borderId="0" xfId="0" applyFont="1"/>
    <xf numFmtId="0" fontId="4" fillId="0" borderId="0" xfId="0" applyFont="1" applyAlignment="1">
      <alignment horizontal="center"/>
    </xf>
    <xf numFmtId="0" fontId="5" fillId="5" borderId="0" xfId="0" applyFont="1" applyFill="1"/>
    <xf numFmtId="0" fontId="6" fillId="5" borderId="0" xfId="0" applyFont="1" applyFill="1"/>
    <xf numFmtId="0" fontId="6" fillId="0" borderId="0" xfId="0" applyFont="1"/>
    <xf numFmtId="164" fontId="6" fillId="0" borderId="0" xfId="0" applyNumberFormat="1" applyFont="1"/>
    <xf numFmtId="3" fontId="6" fillId="0" borderId="0" xfId="0" applyNumberFormat="1" applyFont="1"/>
    <xf numFmtId="0" fontId="7" fillId="0" borderId="0" xfId="0" applyFont="1" applyAlignment="1">
      <alignment wrapText="1"/>
    </xf>
    <xf numFmtId="165" fontId="7" fillId="0" borderId="0" xfId="0" applyNumberFormat="1" applyFont="1" applyAlignment="1">
      <alignment horizontal="center" wrapText="1"/>
    </xf>
    <xf numFmtId="0" fontId="7" fillId="6" borderId="0" xfId="0" applyFont="1" applyFill="1" applyAlignment="1">
      <alignment horizontal="center" wrapText="1"/>
    </xf>
    <xf numFmtId="165" fontId="7" fillId="2" borderId="0" xfId="0" applyNumberFormat="1" applyFont="1" applyFill="1" applyAlignment="1">
      <alignment horizontal="center" wrapText="1"/>
    </xf>
    <xf numFmtId="0" fontId="8" fillId="6" borderId="0" xfId="0" applyFont="1" applyFill="1" applyAlignment="1">
      <alignment horizontal="center"/>
    </xf>
    <xf numFmtId="9" fontId="7" fillId="7" borderId="0" xfId="0" applyNumberFormat="1" applyFont="1" applyFill="1" applyAlignment="1">
      <alignment horizontal="center" wrapText="1"/>
    </xf>
    <xf numFmtId="9" fontId="7" fillId="8" borderId="0" xfId="0" applyNumberFormat="1" applyFont="1" applyFill="1" applyAlignment="1">
      <alignment horizontal="center" wrapText="1"/>
    </xf>
    <xf numFmtId="9" fontId="7" fillId="9" borderId="0" xfId="0" applyNumberFormat="1" applyFont="1" applyFill="1" applyAlignment="1">
      <alignment horizontal="center" wrapText="1"/>
    </xf>
    <xf numFmtId="9" fontId="7" fillId="10" borderId="0" xfId="0" applyNumberFormat="1" applyFont="1" applyFill="1" applyAlignment="1">
      <alignment horizontal="center" wrapText="1"/>
    </xf>
    <xf numFmtId="0" fontId="6" fillId="5" borderId="0" xfId="0" applyFont="1" applyFill="1" applyAlignment="1">
      <alignment horizontal="center"/>
    </xf>
    <xf numFmtId="9" fontId="7" fillId="11" borderId="0" xfId="0" applyNumberFormat="1" applyFont="1" applyFill="1" applyAlignment="1">
      <alignment horizontal="center" wrapText="1"/>
    </xf>
    <xf numFmtId="9" fontId="7" fillId="12" borderId="0" xfId="0" applyNumberFormat="1" applyFont="1" applyFill="1" applyAlignment="1">
      <alignment horizontal="center" wrapText="1"/>
    </xf>
    <xf numFmtId="9" fontId="7" fillId="2" borderId="0" xfId="0" applyNumberFormat="1" applyFont="1" applyFill="1" applyAlignment="1">
      <alignment horizont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/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2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spPr>
            <a:noFill/>
            <a:ln cmpd="sng">
              <a:solidFill>
                <a:srgbClr val="000000"/>
              </a:solidFill>
            </a:ln>
          </c:spPr>
          <c:invertIfNegative val="1"/>
          <c:cat>
            <c:strRef>
              <c:extLst>
                <c:ext xmlns:c15="http://schemas.microsoft.com/office/drawing/2012/chart" uri="{02D57815-91ED-43cb-92C2-25804820EDAC}">
                  <c15:fullRef>
                    <c15:sqref>'Gantt Chart w % Complete'!$B$6:$B$26</c15:sqref>
                  </c15:fullRef>
                </c:ext>
              </c:extLst>
              <c:f>('Gantt Chart w % Complete'!$B$6:$B$10,'Gantt Chart w % Complete'!$B$12:$B$15,'Gantt Chart w % Complete'!$B$17:$B$21,'Gantt Chart w % Complete'!$B$23:$B$26)</c:f>
              <c:strCache>
                <c:ptCount val="18"/>
                <c:pt idx="0">
                  <c:v>Crude Assay Data collection</c:v>
                </c:pt>
                <c:pt idx="1">
                  <c:v>Configuring all data in new sim</c:v>
                </c:pt>
                <c:pt idx="2">
                  <c:v>Adding all streams and equipments</c:v>
                </c:pt>
                <c:pt idx="3">
                  <c:v>Convergence of model</c:v>
                </c:pt>
                <c:pt idx="4">
                  <c:v>Review of column profile</c:v>
                </c:pt>
                <c:pt idx="5">
                  <c:v>Setting up venv &amp; lib</c:v>
                </c:pt>
                <c:pt idx="6">
                  <c:v>Coding of script</c:v>
                </c:pt>
                <c:pt idx="7">
                  <c:v>Optimization of states and actions</c:v>
                </c:pt>
                <c:pt idx="8">
                  <c:v>RL agent building</c:v>
                </c:pt>
                <c:pt idx="9">
                  <c:v>Setting up workflows</c:v>
                </c:pt>
                <c:pt idx="10">
                  <c:v>Configuration of AI Agent</c:v>
                </c:pt>
                <c:pt idx="11">
                  <c:v>Testing of AI Agent</c:v>
                </c:pt>
                <c:pt idx="12">
                  <c:v>Setting up of vector database</c:v>
                </c:pt>
                <c:pt idx="13">
                  <c:v>Testing of Agentic RAG</c:v>
                </c:pt>
                <c:pt idx="14">
                  <c:v>Interface of product pricing entry</c:v>
                </c:pt>
                <c:pt idx="15">
                  <c:v>Interface for model monitoring</c:v>
                </c:pt>
                <c:pt idx="16">
                  <c:v>Interface for agent interaction</c:v>
                </c:pt>
                <c:pt idx="17">
                  <c:v>Report &amp; Other deliverables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'Gantt Chart w % Complete'!$D$6:$D$26</c15:sqref>
                  </c15:fullRef>
                </c:ext>
              </c:extLst>
              <c:f>('Gantt Chart w % Complete'!$D$6:$D$10,'Gantt Chart w % Complete'!$D$12:$D$15,'Gantt Chart w % Complete'!$D$17:$D$21,'Gantt Chart w % Complete'!$D$23:$D$26)</c:f>
              <c:numCache>
                <c:formatCode>General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6</c:v>
                </c:pt>
                <c:pt idx="8">
                  <c:v>6</c:v>
                </c:pt>
                <c:pt idx="9">
                  <c:v>10</c:v>
                </c:pt>
                <c:pt idx="10">
                  <c:v>12</c:v>
                </c:pt>
                <c:pt idx="11">
                  <c:v>14</c:v>
                </c:pt>
                <c:pt idx="12">
                  <c:v>16</c:v>
                </c:pt>
                <c:pt idx="13">
                  <c:v>16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91-49F7-94BD-D57DCDAFD971}"/>
            </c:ext>
          </c:extLst>
        </c:ser>
        <c:ser>
          <c:idx val="1"/>
          <c:order val="1"/>
          <c:spPr>
            <a:solidFill>
              <a:srgbClr val="5CBCD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extLst>
                <c:ext xmlns:c15="http://schemas.microsoft.com/office/drawing/2012/chart" uri="{02D57815-91ED-43cb-92C2-25804820EDAC}">
                  <c15:fullRef>
                    <c15:sqref>'Gantt Chart w % Complete'!$B$6:$B$26</c15:sqref>
                  </c15:fullRef>
                </c:ext>
              </c:extLst>
              <c:f>('Gantt Chart w % Complete'!$B$6:$B$10,'Gantt Chart w % Complete'!$B$12:$B$15,'Gantt Chart w % Complete'!$B$17:$B$21,'Gantt Chart w % Complete'!$B$23:$B$26)</c:f>
              <c:strCache>
                <c:ptCount val="18"/>
                <c:pt idx="0">
                  <c:v>Crude Assay Data collection</c:v>
                </c:pt>
                <c:pt idx="1">
                  <c:v>Configuring all data in new sim</c:v>
                </c:pt>
                <c:pt idx="2">
                  <c:v>Adding all streams and equipments</c:v>
                </c:pt>
                <c:pt idx="3">
                  <c:v>Convergence of model</c:v>
                </c:pt>
                <c:pt idx="4">
                  <c:v>Review of column profile</c:v>
                </c:pt>
                <c:pt idx="5">
                  <c:v>Setting up venv &amp; lib</c:v>
                </c:pt>
                <c:pt idx="6">
                  <c:v>Coding of script</c:v>
                </c:pt>
                <c:pt idx="7">
                  <c:v>Optimization of states and actions</c:v>
                </c:pt>
                <c:pt idx="8">
                  <c:v>RL agent building</c:v>
                </c:pt>
                <c:pt idx="9">
                  <c:v>Setting up workflows</c:v>
                </c:pt>
                <c:pt idx="10">
                  <c:v>Configuration of AI Agent</c:v>
                </c:pt>
                <c:pt idx="11">
                  <c:v>Testing of AI Agent</c:v>
                </c:pt>
                <c:pt idx="12">
                  <c:v>Setting up of vector database</c:v>
                </c:pt>
                <c:pt idx="13">
                  <c:v>Testing of Agentic RAG</c:v>
                </c:pt>
                <c:pt idx="14">
                  <c:v>Interface of product pricing entry</c:v>
                </c:pt>
                <c:pt idx="15">
                  <c:v>Interface for model monitoring</c:v>
                </c:pt>
                <c:pt idx="16">
                  <c:v>Interface for agent interaction</c:v>
                </c:pt>
                <c:pt idx="17">
                  <c:v>Report &amp; Other deliverables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'Gantt Chart w % Complete'!$G$6:$G$26</c15:sqref>
                  </c15:fullRef>
                </c:ext>
              </c:extLst>
              <c:f>('Gantt Chart w % Complete'!$G$6:$G$10,'Gantt Chart w % Complete'!$G$12:$G$15,'Gantt Chart w % Complete'!$G$17:$G$21,'Gantt Chart w % Complete'!$G$23:$G$26)</c:f>
              <c:numCache>
                <c:formatCode>General</c:formatCode>
                <c:ptCount val="1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3.5</c:v>
                </c:pt>
                <c:pt idx="6">
                  <c:v>0.25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3.8000000000000003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491-49F7-94BD-D57DCDAFD971}"/>
            </c:ext>
          </c:extLst>
        </c:ser>
        <c:ser>
          <c:idx val="2"/>
          <c:order val="2"/>
          <c:spPr>
            <a:solidFill>
              <a:srgbClr val="6AD9F8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extLst>
                <c:ext xmlns:c15="http://schemas.microsoft.com/office/drawing/2012/chart" uri="{02D57815-91ED-43cb-92C2-25804820EDAC}">
                  <c15:fullRef>
                    <c15:sqref>'Gantt Chart w % Complete'!$B$6:$B$26</c15:sqref>
                  </c15:fullRef>
                </c:ext>
              </c:extLst>
              <c:f>('Gantt Chart w % Complete'!$B$6:$B$10,'Gantt Chart w % Complete'!$B$12:$B$15,'Gantt Chart w % Complete'!$B$17:$B$21,'Gantt Chart w % Complete'!$B$23:$B$26)</c:f>
              <c:strCache>
                <c:ptCount val="18"/>
                <c:pt idx="0">
                  <c:v>Crude Assay Data collection</c:v>
                </c:pt>
                <c:pt idx="1">
                  <c:v>Configuring all data in new sim</c:v>
                </c:pt>
                <c:pt idx="2">
                  <c:v>Adding all streams and equipments</c:v>
                </c:pt>
                <c:pt idx="3">
                  <c:v>Convergence of model</c:v>
                </c:pt>
                <c:pt idx="4">
                  <c:v>Review of column profile</c:v>
                </c:pt>
                <c:pt idx="5">
                  <c:v>Setting up venv &amp; lib</c:v>
                </c:pt>
                <c:pt idx="6">
                  <c:v>Coding of script</c:v>
                </c:pt>
                <c:pt idx="7">
                  <c:v>Optimization of states and actions</c:v>
                </c:pt>
                <c:pt idx="8">
                  <c:v>RL agent building</c:v>
                </c:pt>
                <c:pt idx="9">
                  <c:v>Setting up workflows</c:v>
                </c:pt>
                <c:pt idx="10">
                  <c:v>Configuration of AI Agent</c:v>
                </c:pt>
                <c:pt idx="11">
                  <c:v>Testing of AI Agent</c:v>
                </c:pt>
                <c:pt idx="12">
                  <c:v>Setting up of vector database</c:v>
                </c:pt>
                <c:pt idx="13">
                  <c:v>Testing of Agentic RAG</c:v>
                </c:pt>
                <c:pt idx="14">
                  <c:v>Interface of product pricing entry</c:v>
                </c:pt>
                <c:pt idx="15">
                  <c:v>Interface for model monitoring</c:v>
                </c:pt>
                <c:pt idx="16">
                  <c:v>Interface for agent interaction</c:v>
                </c:pt>
                <c:pt idx="17">
                  <c:v>Report &amp; Other deliverables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'Gantt Chart w % Complete'!$H$6:$H$26</c15:sqref>
                  </c15:fullRef>
                </c:ext>
              </c:extLst>
              <c:f>('Gantt Chart w % Complete'!$H$6:$H$10,'Gantt Chart w % Complete'!$H$12:$H$15,'Gantt Chart w % Complete'!$H$17:$H$21,'Gantt Chart w % Complete'!$H$23:$H$26)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1.5</c:v>
                </c:pt>
                <c:pt idx="6">
                  <c:v>4.75</c:v>
                </c:pt>
                <c:pt idx="7">
                  <c:v>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2</c:v>
                </c:pt>
                <c:pt idx="13">
                  <c:v>15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34.200000000000003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491-49F7-94BD-D57DCDAFD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6311992"/>
        <c:axId val="2118994130"/>
      </c:barChart>
      <c:catAx>
        <c:axId val="162631199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2118994130"/>
        <c:crosses val="autoZero"/>
        <c:auto val="1"/>
        <c:lblAlgn val="ctr"/>
        <c:lblOffset val="100"/>
        <c:noMultiLvlLbl val="1"/>
      </c:catAx>
      <c:valAx>
        <c:axId val="2118994130"/>
        <c:scaling>
          <c:orientation val="minMax"/>
          <c:max val="5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Roboto"/>
                  </a:rPr>
                  <a:t>Days of the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626311992"/>
        <c:crosses val="max"/>
        <c:crossBetween val="between"/>
      </c:valAx>
    </c:plotArea>
    <c:plotVisOnly val="1"/>
    <c:dispBlanksAs val="zero"/>
    <c:showDLblsOverMax val="1"/>
  </c:chart>
  <c:spPr>
    <a:ln>
      <a:solidFill>
        <a:srgbClr val="B7B7B7">
          <a:alpha val="94000"/>
        </a:srgbClr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11033760" cy="51911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Y47"/>
  <sheetViews>
    <sheetView showGridLines="0" tabSelected="1" zoomScale="70" zoomScaleNormal="70" workbookViewId="0">
      <selection activeCell="Z33" sqref="Z33"/>
    </sheetView>
  </sheetViews>
  <sheetFormatPr defaultColWidth="12.6640625" defaultRowHeight="15.75" customHeight="1" x14ac:dyDescent="0.25"/>
  <cols>
    <col min="1" max="1" width="2.44140625" customWidth="1"/>
    <col min="2" max="2" width="31.33203125" customWidth="1"/>
    <col min="3" max="9" width="10.77734375" customWidth="1"/>
    <col min="10" max="10" width="9.44140625" customWidth="1"/>
    <col min="11" max="12" width="6.33203125" customWidth="1"/>
    <col min="13" max="14" width="3.21875" customWidth="1"/>
    <col min="15" max="15" width="15.77734375" customWidth="1"/>
    <col min="16" max="19" width="4" customWidth="1"/>
    <col min="20" max="20" width="1.21875" customWidth="1"/>
    <col min="21" max="23" width="4" customWidth="1"/>
    <col min="24" max="24" width="4.6640625" customWidth="1"/>
    <col min="25" max="25" width="0.44140625" customWidth="1"/>
    <col min="26" max="28" width="4" customWidth="1"/>
    <col min="29" max="29" width="2.44140625" customWidth="1"/>
    <col min="30" max="30" width="2.88671875" hidden="1" customWidth="1"/>
    <col min="31" max="34" width="4" customWidth="1"/>
    <col min="35" max="35" width="4.33203125" customWidth="1"/>
    <col min="36" max="36" width="2.21875" customWidth="1"/>
    <col min="37" max="37" width="3.44140625" customWidth="1"/>
    <col min="38" max="38" width="1.88671875" customWidth="1"/>
    <col min="39" max="39" width="3" customWidth="1"/>
    <col min="40" max="40" width="6.6640625" customWidth="1"/>
    <col min="41" max="41" width="3.88671875" customWidth="1"/>
    <col min="42" max="42" width="3.109375" customWidth="1"/>
    <col min="43" max="43" width="3.21875" customWidth="1"/>
    <col min="44" max="44" width="4.109375" customWidth="1"/>
    <col min="45" max="45" width="3.33203125" customWidth="1"/>
    <col min="46" max="46" width="2.6640625" customWidth="1"/>
    <col min="47" max="47" width="5" customWidth="1"/>
    <col min="48" max="49" width="3.44140625" customWidth="1"/>
    <col min="50" max="50" width="2.44140625" customWidth="1"/>
  </cols>
  <sheetData>
    <row r="1" spans="1:51" ht="69.599999999999994" customHeight="1" x14ac:dyDescent="0.25">
      <c r="A1" s="26" t="s">
        <v>16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</row>
    <row r="2" spans="1:51" ht="15.7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51" ht="15.75" customHeight="1" x14ac:dyDescent="0.3">
      <c r="A3" s="22"/>
      <c r="B3" s="22" t="s">
        <v>0</v>
      </c>
      <c r="C3" s="22" t="s">
        <v>1</v>
      </c>
      <c r="D3" s="22" t="s">
        <v>2</v>
      </c>
      <c r="E3" s="22" t="s">
        <v>3</v>
      </c>
      <c r="F3" s="22" t="s">
        <v>4</v>
      </c>
      <c r="G3" s="22" t="s">
        <v>5</v>
      </c>
      <c r="H3" s="22" t="s">
        <v>6</v>
      </c>
      <c r="I3" s="22" t="s">
        <v>7</v>
      </c>
      <c r="J3" s="22" t="s">
        <v>8</v>
      </c>
      <c r="K3" s="24"/>
      <c r="L3" s="23"/>
      <c r="M3" s="23"/>
      <c r="N3" s="23"/>
      <c r="O3" s="23"/>
      <c r="P3" s="24" t="s">
        <v>9</v>
      </c>
      <c r="Q3" s="23"/>
      <c r="R3" s="23"/>
      <c r="S3" s="23"/>
      <c r="T3" s="23"/>
      <c r="U3" s="25" t="s">
        <v>10</v>
      </c>
      <c r="V3" s="23"/>
      <c r="W3" s="23"/>
      <c r="X3" s="23"/>
      <c r="Y3" s="23"/>
      <c r="Z3" s="24" t="s">
        <v>11</v>
      </c>
      <c r="AA3" s="23"/>
      <c r="AB3" s="23"/>
      <c r="AC3" s="23"/>
      <c r="AD3" s="23"/>
      <c r="AE3" s="25" t="s">
        <v>12</v>
      </c>
      <c r="AF3" s="23"/>
      <c r="AG3" s="23"/>
      <c r="AH3" s="23"/>
      <c r="AI3" s="23"/>
      <c r="AJ3" s="24" t="s">
        <v>13</v>
      </c>
      <c r="AK3" s="23"/>
      <c r="AL3" s="23"/>
      <c r="AM3" s="23"/>
      <c r="AN3" s="23"/>
      <c r="AO3" s="25" t="s">
        <v>14</v>
      </c>
      <c r="AP3" s="23"/>
      <c r="AQ3" s="23"/>
      <c r="AR3" s="23"/>
      <c r="AS3" s="23"/>
      <c r="AT3" s="24" t="s">
        <v>15</v>
      </c>
      <c r="AU3" s="23"/>
      <c r="AV3" s="23"/>
      <c r="AW3" s="23"/>
      <c r="AX3" s="23"/>
    </row>
    <row r="4" spans="1:51" ht="25.8" customHeigh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51" x14ac:dyDescent="0.3">
      <c r="A5" s="4" t="s">
        <v>17</v>
      </c>
      <c r="B5" s="5"/>
      <c r="C5" s="5"/>
      <c r="D5" s="5"/>
      <c r="E5" s="5"/>
      <c r="F5" s="5"/>
      <c r="G5" s="5"/>
      <c r="H5" s="5"/>
      <c r="I5" s="5"/>
      <c r="J5" s="5"/>
      <c r="K5" s="6"/>
      <c r="L5" s="7"/>
      <c r="M5" s="8"/>
      <c r="N5" s="8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</row>
    <row r="6" spans="1:51" ht="14.4" x14ac:dyDescent="0.3">
      <c r="B6" s="9" t="s">
        <v>20</v>
      </c>
      <c r="C6" s="10">
        <v>46082</v>
      </c>
      <c r="D6" s="11">
        <f t="shared" ref="D6:D10" si="0">DAY(C6)</f>
        <v>1</v>
      </c>
      <c r="E6" s="12">
        <f>C6+5</f>
        <v>46087</v>
      </c>
      <c r="F6" s="11">
        <f>IF(E6="","",SUM(G6:H6))</f>
        <v>5</v>
      </c>
      <c r="G6" s="13">
        <f t="shared" ref="G6:G10" si="1">IF(((E6)=""),"",(J6)*(E6-C6))</f>
        <v>5</v>
      </c>
      <c r="H6" s="11">
        <f t="shared" ref="H6:H10" si="2">IF(G6="","",(E6-C6)-G6)</f>
        <v>0</v>
      </c>
      <c r="I6" s="9" t="s">
        <v>19</v>
      </c>
      <c r="J6" s="14">
        <v>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51" ht="14.4" x14ac:dyDescent="0.3">
      <c r="B7" s="9" t="s">
        <v>21</v>
      </c>
      <c r="C7" s="10">
        <v>46082</v>
      </c>
      <c r="D7" s="11">
        <f t="shared" si="0"/>
        <v>1</v>
      </c>
      <c r="E7" s="12">
        <f t="shared" ref="E7:E10" si="3">C7+5</f>
        <v>46087</v>
      </c>
      <c r="F7" s="11">
        <f t="shared" ref="F7:F10" si="4">IF(ISBLANK(C7),"", (E7-C7))</f>
        <v>5</v>
      </c>
      <c r="G7" s="13">
        <f t="shared" si="1"/>
        <v>5</v>
      </c>
      <c r="H7" s="11">
        <f t="shared" si="2"/>
        <v>0</v>
      </c>
      <c r="I7" s="9" t="s">
        <v>19</v>
      </c>
      <c r="J7" s="15">
        <v>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51" ht="14.4" x14ac:dyDescent="0.3">
      <c r="B8" s="9" t="s">
        <v>22</v>
      </c>
      <c r="C8" s="10">
        <v>46082</v>
      </c>
      <c r="D8" s="11">
        <f t="shared" si="0"/>
        <v>1</v>
      </c>
      <c r="E8" s="12">
        <f t="shared" si="3"/>
        <v>46087</v>
      </c>
      <c r="F8" s="11">
        <f t="shared" si="4"/>
        <v>5</v>
      </c>
      <c r="G8" s="13">
        <f t="shared" si="1"/>
        <v>5</v>
      </c>
      <c r="H8" s="11">
        <f t="shared" si="2"/>
        <v>0</v>
      </c>
      <c r="I8" s="9" t="s">
        <v>19</v>
      </c>
      <c r="J8" s="14">
        <v>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51" ht="14.4" x14ac:dyDescent="0.3">
      <c r="B9" s="9" t="s">
        <v>23</v>
      </c>
      <c r="C9" s="10">
        <v>46083</v>
      </c>
      <c r="D9" s="11">
        <f t="shared" si="0"/>
        <v>2</v>
      </c>
      <c r="E9" s="12">
        <f t="shared" si="3"/>
        <v>46088</v>
      </c>
      <c r="F9" s="11">
        <f t="shared" si="4"/>
        <v>5</v>
      </c>
      <c r="G9" s="13">
        <f t="shared" si="1"/>
        <v>5</v>
      </c>
      <c r="H9" s="11">
        <f t="shared" si="2"/>
        <v>0</v>
      </c>
      <c r="I9" s="9" t="s">
        <v>19</v>
      </c>
      <c r="J9" s="16">
        <v>1</v>
      </c>
    </row>
    <row r="10" spans="1:51" ht="14.4" x14ac:dyDescent="0.3">
      <c r="B10" s="9" t="s">
        <v>24</v>
      </c>
      <c r="C10" s="10">
        <v>46084</v>
      </c>
      <c r="D10" s="11">
        <f t="shared" si="0"/>
        <v>3</v>
      </c>
      <c r="E10" s="12">
        <f>C10+10</f>
        <v>46094</v>
      </c>
      <c r="F10" s="11">
        <f t="shared" si="4"/>
        <v>10</v>
      </c>
      <c r="G10" s="13">
        <f t="shared" si="1"/>
        <v>3</v>
      </c>
      <c r="H10" s="11">
        <f t="shared" si="2"/>
        <v>7</v>
      </c>
      <c r="I10" s="9" t="s">
        <v>19</v>
      </c>
      <c r="J10" s="17">
        <v>0.3</v>
      </c>
    </row>
    <row r="11" spans="1:51" x14ac:dyDescent="0.3">
      <c r="A11" s="4" t="s">
        <v>18</v>
      </c>
      <c r="B11" s="18"/>
      <c r="C11" s="18"/>
      <c r="D11" s="18"/>
      <c r="E11" s="18"/>
      <c r="F11" s="18"/>
      <c r="G11" s="18"/>
      <c r="H11" s="18"/>
      <c r="I11" s="18"/>
      <c r="J11" s="18"/>
    </row>
    <row r="12" spans="1:51" ht="14.4" x14ac:dyDescent="0.3">
      <c r="B12" s="9" t="s">
        <v>29</v>
      </c>
      <c r="C12" s="10">
        <v>46084</v>
      </c>
      <c r="D12" s="11">
        <f t="shared" ref="D12:D15" si="5">DAY(C12)</f>
        <v>3</v>
      </c>
      <c r="E12" s="12">
        <f>C12+5</f>
        <v>46089</v>
      </c>
      <c r="F12" s="11">
        <f t="shared" ref="F12:F15" si="6">IF(ISBLANK(C12),"", (E12-C12))</f>
        <v>5</v>
      </c>
      <c r="G12" s="13">
        <f t="shared" ref="G12:G15" si="7">IF(((E12)=""),"",(J12)*(E12-C12))</f>
        <v>3.5</v>
      </c>
      <c r="H12" s="11">
        <f t="shared" ref="H12:H15" si="8">IF(G12="","",(E12-C12)-G12)</f>
        <v>1.5</v>
      </c>
      <c r="I12" s="9" t="s">
        <v>19</v>
      </c>
      <c r="J12" s="19">
        <v>0.7</v>
      </c>
    </row>
    <row r="13" spans="1:51" ht="14.4" x14ac:dyDescent="0.3">
      <c r="B13" s="9" t="s">
        <v>25</v>
      </c>
      <c r="C13" s="10">
        <v>46084</v>
      </c>
      <c r="D13" s="11">
        <f t="shared" si="5"/>
        <v>3</v>
      </c>
      <c r="E13" s="12">
        <f t="shared" ref="E13:E15" si="9">C13+5</f>
        <v>46089</v>
      </c>
      <c r="F13" s="11">
        <f t="shared" si="6"/>
        <v>5</v>
      </c>
      <c r="G13" s="13">
        <f t="shared" si="7"/>
        <v>0.25</v>
      </c>
      <c r="H13" s="11">
        <f t="shared" si="8"/>
        <v>4.75</v>
      </c>
      <c r="I13" s="9" t="s">
        <v>19</v>
      </c>
      <c r="J13" s="20">
        <v>0.05</v>
      </c>
    </row>
    <row r="14" spans="1:51" ht="14.4" x14ac:dyDescent="0.3">
      <c r="B14" s="9" t="s">
        <v>27</v>
      </c>
      <c r="C14" s="10">
        <v>46087</v>
      </c>
      <c r="D14" s="11">
        <f t="shared" si="5"/>
        <v>6</v>
      </c>
      <c r="E14" s="12">
        <f t="shared" si="9"/>
        <v>46092</v>
      </c>
      <c r="F14" s="11">
        <f t="shared" si="6"/>
        <v>5</v>
      </c>
      <c r="G14" s="13">
        <f t="shared" si="7"/>
        <v>0</v>
      </c>
      <c r="H14" s="11">
        <f t="shared" si="8"/>
        <v>5</v>
      </c>
      <c r="I14" s="9" t="s">
        <v>19</v>
      </c>
      <c r="J14" s="21">
        <v>0</v>
      </c>
    </row>
    <row r="15" spans="1:51" ht="14.4" x14ac:dyDescent="0.3">
      <c r="B15" s="9" t="s">
        <v>26</v>
      </c>
      <c r="C15" s="10">
        <v>46087</v>
      </c>
      <c r="D15" s="11">
        <f t="shared" si="5"/>
        <v>6</v>
      </c>
      <c r="E15" s="12">
        <f>C15+15</f>
        <v>46102</v>
      </c>
      <c r="F15" s="11">
        <f t="shared" si="6"/>
        <v>15</v>
      </c>
      <c r="G15" s="13">
        <f t="shared" si="7"/>
        <v>0</v>
      </c>
      <c r="H15" s="11">
        <f t="shared" si="8"/>
        <v>15</v>
      </c>
      <c r="I15" s="9" t="s">
        <v>19</v>
      </c>
      <c r="J15" s="21">
        <v>0</v>
      </c>
    </row>
    <row r="16" spans="1:51" x14ac:dyDescent="0.3">
      <c r="A16" s="4" t="s">
        <v>28</v>
      </c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4.4" x14ac:dyDescent="0.3">
      <c r="B17" s="9" t="s">
        <v>30</v>
      </c>
      <c r="C17" s="10">
        <v>46091</v>
      </c>
      <c r="D17" s="11">
        <f t="shared" ref="D17:D21" si="10">DAY(C17)</f>
        <v>10</v>
      </c>
      <c r="E17" s="12">
        <f>C17+15</f>
        <v>46106</v>
      </c>
      <c r="F17" s="11">
        <f t="shared" ref="F17:F21" si="11">IF(ISBLANK(C17),"", (E17-C17))</f>
        <v>15</v>
      </c>
      <c r="G17" s="13">
        <f t="shared" ref="G17:G21" si="12">IF(((E17)=""),"",(J17)*(E17-C17))</f>
        <v>0</v>
      </c>
      <c r="H17" s="11">
        <f t="shared" ref="H17:H21" si="13">IF(G17="","",(E17-C17)-G17)</f>
        <v>15</v>
      </c>
      <c r="I17" s="9" t="s">
        <v>19</v>
      </c>
      <c r="J17" s="21">
        <v>0</v>
      </c>
    </row>
    <row r="18" spans="1:10" ht="14.4" x14ac:dyDescent="0.3">
      <c r="B18" s="9" t="s">
        <v>31</v>
      </c>
      <c r="C18" s="10">
        <v>46093</v>
      </c>
      <c r="D18" s="11">
        <f t="shared" si="10"/>
        <v>12</v>
      </c>
      <c r="E18" s="12">
        <f>C18+15</f>
        <v>46108</v>
      </c>
      <c r="F18" s="11">
        <f t="shared" si="11"/>
        <v>15</v>
      </c>
      <c r="G18" s="13">
        <f t="shared" si="12"/>
        <v>0</v>
      </c>
      <c r="H18" s="11">
        <f t="shared" si="13"/>
        <v>15</v>
      </c>
      <c r="I18" s="9" t="s">
        <v>19</v>
      </c>
      <c r="J18" s="21">
        <v>0</v>
      </c>
    </row>
    <row r="19" spans="1:10" ht="14.4" x14ac:dyDescent="0.3">
      <c r="B19" s="9" t="s">
        <v>32</v>
      </c>
      <c r="C19" s="10">
        <v>46095</v>
      </c>
      <c r="D19" s="11">
        <f t="shared" si="10"/>
        <v>14</v>
      </c>
      <c r="E19" s="12">
        <f t="shared" ref="E19:E21" si="14">C19+15</f>
        <v>46110</v>
      </c>
      <c r="F19" s="11">
        <f t="shared" si="11"/>
        <v>15</v>
      </c>
      <c r="G19" s="13">
        <f t="shared" si="12"/>
        <v>0</v>
      </c>
      <c r="H19" s="11">
        <f t="shared" si="13"/>
        <v>15</v>
      </c>
      <c r="I19" s="9" t="s">
        <v>19</v>
      </c>
      <c r="J19" s="21">
        <v>0</v>
      </c>
    </row>
    <row r="20" spans="1:10" ht="14.4" x14ac:dyDescent="0.3">
      <c r="B20" s="9" t="s">
        <v>33</v>
      </c>
      <c r="C20" s="10">
        <v>46097</v>
      </c>
      <c r="D20" s="11">
        <f t="shared" si="10"/>
        <v>16</v>
      </c>
      <c r="E20" s="12">
        <f>C20+2</f>
        <v>46099</v>
      </c>
      <c r="F20" s="11">
        <f t="shared" si="11"/>
        <v>2</v>
      </c>
      <c r="G20" s="13">
        <f t="shared" si="12"/>
        <v>0</v>
      </c>
      <c r="H20" s="11">
        <f t="shared" si="13"/>
        <v>2</v>
      </c>
      <c r="I20" s="9" t="s">
        <v>19</v>
      </c>
      <c r="J20" s="21">
        <v>0</v>
      </c>
    </row>
    <row r="21" spans="1:10" ht="14.4" x14ac:dyDescent="0.3">
      <c r="B21" s="9" t="s">
        <v>34</v>
      </c>
      <c r="C21" s="10">
        <v>46097</v>
      </c>
      <c r="D21" s="11">
        <f t="shared" si="10"/>
        <v>16</v>
      </c>
      <c r="E21" s="12">
        <f t="shared" si="14"/>
        <v>46112</v>
      </c>
      <c r="F21" s="11">
        <f t="shared" si="11"/>
        <v>15</v>
      </c>
      <c r="G21" s="13">
        <f t="shared" si="12"/>
        <v>0</v>
      </c>
      <c r="H21" s="11">
        <f t="shared" si="13"/>
        <v>15</v>
      </c>
      <c r="I21" s="9" t="s">
        <v>19</v>
      </c>
      <c r="J21" s="21">
        <v>0</v>
      </c>
    </row>
    <row r="22" spans="1:10" x14ac:dyDescent="0.3">
      <c r="A22" s="4" t="s">
        <v>39</v>
      </c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4.4" x14ac:dyDescent="0.3">
      <c r="B23" s="9" t="s">
        <v>35</v>
      </c>
      <c r="C23" s="10">
        <v>46082</v>
      </c>
      <c r="D23" s="11">
        <f t="shared" ref="D23:D26" si="15">DAY(C23)</f>
        <v>1</v>
      </c>
      <c r="E23" s="12">
        <f>C23+35</f>
        <v>46117</v>
      </c>
      <c r="F23" s="11">
        <f t="shared" ref="F23:F26" si="16">IF(ISBLANK(C23),"", (E23-C23))</f>
        <v>35</v>
      </c>
      <c r="G23" s="13">
        <f t="shared" ref="G23:G26" si="17">IF(((E23)=""),"",(J23)*(E23-C23))</f>
        <v>0</v>
      </c>
      <c r="H23" s="11">
        <f t="shared" ref="H23:H26" si="18">IF(G23="","",(E23-C23)-G23)</f>
        <v>35</v>
      </c>
      <c r="I23" s="9" t="s">
        <v>19</v>
      </c>
      <c r="J23" s="21">
        <v>0</v>
      </c>
    </row>
    <row r="24" spans="1:10" ht="14.4" x14ac:dyDescent="0.3">
      <c r="B24" s="9" t="s">
        <v>36</v>
      </c>
      <c r="C24" s="10">
        <v>46083</v>
      </c>
      <c r="D24" s="11">
        <f t="shared" si="15"/>
        <v>2</v>
      </c>
      <c r="E24" s="12">
        <f>C24+35</f>
        <v>46118</v>
      </c>
      <c r="F24" s="11">
        <f t="shared" si="16"/>
        <v>35</v>
      </c>
      <c r="G24" s="13">
        <f t="shared" si="17"/>
        <v>0</v>
      </c>
      <c r="H24" s="11">
        <f t="shared" si="18"/>
        <v>35</v>
      </c>
      <c r="I24" s="9" t="s">
        <v>19</v>
      </c>
      <c r="J24" s="21">
        <v>0</v>
      </c>
    </row>
    <row r="25" spans="1:10" ht="14.4" x14ac:dyDescent="0.3">
      <c r="B25" s="9" t="s">
        <v>37</v>
      </c>
      <c r="C25" s="10">
        <v>46084</v>
      </c>
      <c r="D25" s="11">
        <f t="shared" si="15"/>
        <v>3</v>
      </c>
      <c r="E25" s="12">
        <f>C25+35</f>
        <v>46119</v>
      </c>
      <c r="F25" s="11">
        <f t="shared" si="16"/>
        <v>35</v>
      </c>
      <c r="G25" s="13">
        <f t="shared" si="17"/>
        <v>0</v>
      </c>
      <c r="H25" s="11">
        <f t="shared" si="18"/>
        <v>35</v>
      </c>
      <c r="I25" s="9" t="s">
        <v>19</v>
      </c>
      <c r="J25" s="21">
        <v>0</v>
      </c>
    </row>
    <row r="26" spans="1:10" ht="14.4" x14ac:dyDescent="0.3">
      <c r="B26" s="9" t="s">
        <v>38</v>
      </c>
      <c r="C26" s="10">
        <v>46082</v>
      </c>
      <c r="D26" s="11">
        <f t="shared" si="15"/>
        <v>1</v>
      </c>
      <c r="E26" s="12">
        <f>C26+38</f>
        <v>46120</v>
      </c>
      <c r="F26" s="11">
        <f t="shared" si="16"/>
        <v>38</v>
      </c>
      <c r="G26" s="13">
        <f t="shared" si="17"/>
        <v>3.8000000000000003</v>
      </c>
      <c r="H26" s="11">
        <f t="shared" si="18"/>
        <v>34.200000000000003</v>
      </c>
      <c r="I26" s="9" t="s">
        <v>19</v>
      </c>
      <c r="J26" s="21">
        <v>0.1</v>
      </c>
    </row>
    <row r="27" spans="1:10" ht="13.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13.2" x14ac:dyDescent="0.25">
      <c r="A28" s="2"/>
      <c r="B28" s="1"/>
      <c r="C28" s="2"/>
      <c r="D28" s="2"/>
      <c r="E28" s="2"/>
      <c r="F28" s="2"/>
      <c r="G28" s="2"/>
      <c r="H28" s="2"/>
      <c r="I28" s="2"/>
      <c r="J28" s="2"/>
    </row>
    <row r="29" spans="1:10" ht="13.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13.2" x14ac:dyDescent="0.25"/>
    <row r="31" spans="1:10" ht="13.2" x14ac:dyDescent="0.25"/>
    <row r="32" spans="1:10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</sheetData>
  <mergeCells count="19">
    <mergeCell ref="AJ3:AN3"/>
    <mergeCell ref="AO3:AS3"/>
    <mergeCell ref="AT3:AX3"/>
    <mergeCell ref="A1:AY1"/>
    <mergeCell ref="U3:Y3"/>
    <mergeCell ref="Z3:AD3"/>
    <mergeCell ref="AE3:AI3"/>
    <mergeCell ref="A3:A4"/>
    <mergeCell ref="B3:B4"/>
    <mergeCell ref="C3:C4"/>
    <mergeCell ref="D3:D4"/>
    <mergeCell ref="E3:E4"/>
    <mergeCell ref="F3:F4"/>
    <mergeCell ref="I3:I4"/>
    <mergeCell ref="G3:G4"/>
    <mergeCell ref="H3:H4"/>
    <mergeCell ref="J3:J4"/>
    <mergeCell ref="K3:O3"/>
    <mergeCell ref="P3:T3"/>
  </mergeCells>
  <conditionalFormatting sqref="J6:J10 J12:J15 J17:J21 J23:J26">
    <cfRule type="colorScale" priority="1">
      <colorScale>
        <cfvo type="percent" val="0"/>
        <cfvo type="percent" val="100"/>
        <color rgb="FFFFFFFF"/>
        <color rgb="FF5CBCD6"/>
      </colorScale>
    </cfRule>
  </conditionalFormatting>
  <dataValidations disablePrompts="1" count="1">
    <dataValidation type="custom" allowBlank="1" showDropDown="1" sqref="E6:E10 C23:C26 C12:C13 E12:E15 E17:E21 C6:C10 E23:E26" xr:uid="{00000000-0002-0000-0000-000000000000}">
      <formula1>OR(NOT(ISERROR(DATEVALUE(C6))), AND(ISNUMBER(C6), LEFT(CELL("format", C6))="D"))</formula1>
    </dataValidation>
  </dataValidations>
  <pageMargins left="0.7" right="0.7" top="0.75" bottom="0.75" header="0.3" footer="0.3"/>
  <pageSetup scale="4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 w % 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Senapati</dc:creator>
  <cp:lastModifiedBy>Suman Senapati</cp:lastModifiedBy>
  <cp:lastPrinted>2026-03-02T08:01:24Z</cp:lastPrinted>
  <dcterms:created xsi:type="dcterms:W3CDTF">2026-03-02T06:30:42Z</dcterms:created>
  <dcterms:modified xsi:type="dcterms:W3CDTF">2026-03-02T08:09:58Z</dcterms:modified>
</cp:coreProperties>
</file>